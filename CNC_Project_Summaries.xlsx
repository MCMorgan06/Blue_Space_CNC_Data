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Chapter_5_Urban_Biodiversity/"/>
    </mc:Choice>
  </mc:AlternateContent>
  <xr:revisionPtr revIDLastSave="1" documentId="8_{4732CA70-8C83-4DA1-BE02-F844662AAA28}" xr6:coauthVersionLast="47" xr6:coauthVersionMax="47" xr10:uidLastSave="{629EC2F3-5DDC-4EB3-B07F-10066F3EA1E6}"/>
  <bookViews>
    <workbookView xWindow="-120" yWindow="-120" windowWidth="29040" windowHeight="15720" activeTab="1" xr2:uid="{2B596B22-A94A-4723-896C-750F1B524B1B}"/>
  </bookViews>
  <sheets>
    <sheet name="full_data" sheetId="1" r:id="rId1"/>
    <sheet name="avera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J2" i="2"/>
  <c r="I2" i="2"/>
  <c r="H2" i="2"/>
  <c r="G2" i="2"/>
  <c r="M2" i="1"/>
  <c r="L2" i="1"/>
</calcChain>
</file>

<file path=xl/sharedStrings.xml><?xml version="1.0" encoding="utf-8"?>
<sst xmlns="http://schemas.openxmlformats.org/spreadsheetml/2006/main" count="292" uniqueCount="112">
  <si>
    <t>Name</t>
  </si>
  <si>
    <t>Greater York  Border</t>
  </si>
  <si>
    <t>North East England Border</t>
  </si>
  <si>
    <t>Brighton &amp; Eastern Downs Border</t>
  </si>
  <si>
    <t>Bristol and Bath Region Border</t>
  </si>
  <si>
    <t>Greater London Border</t>
  </si>
  <si>
    <t>Liverpool City Region Border</t>
  </si>
  <si>
    <t>Cheshire West and Chester Border</t>
  </si>
  <si>
    <t>Staffordshire Border &amp; Stoke-on-Trent</t>
  </si>
  <si>
    <t>Birmingham &amp; Black Country Border</t>
  </si>
  <si>
    <t>Hull City Council Border</t>
  </si>
  <si>
    <t>Urbanness Calculated</t>
  </si>
  <si>
    <t>Done</t>
  </si>
  <si>
    <t>iNat Downloaded</t>
  </si>
  <si>
    <t>Code</t>
  </si>
  <si>
    <t xml:space="preserve">Start </t>
  </si>
  <si>
    <t>End</t>
  </si>
  <si>
    <t>name</t>
  </si>
  <si>
    <t>birmingham_all</t>
  </si>
  <si>
    <t>hull_all</t>
  </si>
  <si>
    <t>birstol_1</t>
  </si>
  <si>
    <t>bristol_2</t>
  </si>
  <si>
    <t>liverpool_1</t>
  </si>
  <si>
    <t>liverpool_2</t>
  </si>
  <si>
    <t>london_1</t>
  </si>
  <si>
    <t>records</t>
  </si>
  <si>
    <t>london_2</t>
  </si>
  <si>
    <t>london_3</t>
  </si>
  <si>
    <t>notes</t>
  </si>
  <si>
    <t>using 2024 boundary</t>
  </si>
  <si>
    <t>brighton_all</t>
  </si>
  <si>
    <t>stafford_all</t>
  </si>
  <si>
    <t>york_all</t>
  </si>
  <si>
    <t>cheshire_all</t>
  </si>
  <si>
    <t>norteast_all</t>
  </si>
  <si>
    <t>london_4</t>
  </si>
  <si>
    <t>Lancashire</t>
  </si>
  <si>
    <t>Greater Manchester</t>
  </si>
  <si>
    <t>Oxfordshire</t>
  </si>
  <si>
    <t>East Lothian</t>
  </si>
  <si>
    <t>Clackmannanshire</t>
  </si>
  <si>
    <t>Edinburgh</t>
  </si>
  <si>
    <t>Greater Edinburgh</t>
  </si>
  <si>
    <t>Fife</t>
  </si>
  <si>
    <t>Midlothian</t>
  </si>
  <si>
    <t>West Lothian</t>
  </si>
  <si>
    <t>lancashire_all</t>
  </si>
  <si>
    <t>oxfordshire_all</t>
  </si>
  <si>
    <t>clack</t>
  </si>
  <si>
    <t>eloth</t>
  </si>
  <si>
    <t>ed</t>
  </si>
  <si>
    <t>fife</t>
  </si>
  <si>
    <t>mloth</t>
  </si>
  <si>
    <t>wloth</t>
  </si>
  <si>
    <t>Cities</t>
  </si>
  <si>
    <t>obs</t>
  </si>
  <si>
    <t>manchester_all</t>
  </si>
  <si>
    <t>Sufflok</t>
  </si>
  <si>
    <t>Greater Belfast</t>
  </si>
  <si>
    <t>Berkshire</t>
  </si>
  <si>
    <t>Swansea</t>
  </si>
  <si>
    <t>Dundee</t>
  </si>
  <si>
    <t>Gloucestershire</t>
  </si>
  <si>
    <t>Coventry</t>
  </si>
  <si>
    <t>Cardiff and Newport</t>
  </si>
  <si>
    <t>Nottingham City</t>
  </si>
  <si>
    <t>Greater Glasgow</t>
  </si>
  <si>
    <t>Warwickshire, Solihull</t>
  </si>
  <si>
    <t>coombe park</t>
  </si>
  <si>
    <t>coventry city</t>
  </si>
  <si>
    <t>warwick university</t>
  </si>
  <si>
    <t>East Ayrshire</t>
  </si>
  <si>
    <t>East Dunbartonshire</t>
  </si>
  <si>
    <t>East Renfrewshire</t>
  </si>
  <si>
    <t>Glasgow</t>
  </si>
  <si>
    <t>Inverclyde</t>
  </si>
  <si>
    <t>North Ayshire</t>
  </si>
  <si>
    <t>North Lanarkshire</t>
  </si>
  <si>
    <t>Renfrewshire</t>
  </si>
  <si>
    <t>South Ayrshire</t>
  </si>
  <si>
    <t>South Lanarkshire</t>
  </si>
  <si>
    <t>West Dunbartonshire</t>
  </si>
  <si>
    <t>Solihull</t>
  </si>
  <si>
    <t>Warwickshire</t>
  </si>
  <si>
    <t>cnc cardiff (only used this as the others were added post 2021 but didn’t offer any records)</t>
  </si>
  <si>
    <t>solihull_all</t>
  </si>
  <si>
    <t>warwichshire_all</t>
  </si>
  <si>
    <t>suffolk_all</t>
  </si>
  <si>
    <t>belfast_all</t>
  </si>
  <si>
    <t>berkshire_all</t>
  </si>
  <si>
    <t>swansea_all</t>
  </si>
  <si>
    <t>dundee_all</t>
  </si>
  <si>
    <t>gloucestershire_all</t>
  </si>
  <si>
    <t>conventry_1</t>
  </si>
  <si>
    <t>conventry_2</t>
  </si>
  <si>
    <t>conventry_3</t>
  </si>
  <si>
    <t>cardiff_new_all</t>
  </si>
  <si>
    <t>nott_all</t>
  </si>
  <si>
    <t>dunb</t>
  </si>
  <si>
    <t>renf</t>
  </si>
  <si>
    <t>eayr</t>
  </si>
  <si>
    <t>eren</t>
  </si>
  <si>
    <t>glas</t>
  </si>
  <si>
    <t>inver</t>
  </si>
  <si>
    <t>nlana</t>
  </si>
  <si>
    <t>sayr</t>
  </si>
  <si>
    <t>slana</t>
  </si>
  <si>
    <t>nayr</t>
  </si>
  <si>
    <t>wdunb</t>
  </si>
  <si>
    <t>avg.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</si>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</sst>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B6B50-D88A-40BA-8108-0DFAA12863BE}">
  <dimension ref="A1:M49"/>
  <sheetViews>
    <sheetView workbookViewId="0">
      <selection activeCell="C22" sqref="C22"/>
    </sheetView>
  </sheetViews>
  <sheetFormatPr defaultRowHeight="15" x14ac:dyDescent="0.25"/>
  <cols>
    <col min="1" max="1" width="50.42578125" customWidth="1"/>
    <col min="2" max="2" width="24.42578125" customWidth="1"/>
    <col min="3" max="3" width="19" customWidth="1"/>
    <col min="5" max="5" width="15" customWidth="1"/>
    <col min="6" max="6" width="16.28515625" customWidth="1"/>
    <col min="7" max="7" width="21" customWidth="1"/>
    <col min="9" max="9" width="20.7109375" customWidth="1"/>
  </cols>
  <sheetData>
    <row r="1" spans="1:13" x14ac:dyDescent="0.25">
      <c r="A1" t="s">
        <v>0</v>
      </c>
      <c r="B1" t="s">
        <v>11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25</v>
      </c>
      <c r="I1" t="s">
        <v>28</v>
      </c>
      <c r="L1" t="s">
        <v>54</v>
      </c>
      <c r="M1" t="s">
        <v>55</v>
      </c>
    </row>
    <row r="2" spans="1:13" x14ac:dyDescent="0.25">
      <c r="A2" t="s">
        <v>9</v>
      </c>
      <c r="B2" t="s">
        <v>12</v>
      </c>
      <c r="C2" t="s">
        <v>12</v>
      </c>
      <c r="D2">
        <v>144101</v>
      </c>
      <c r="E2" s="1">
        <v>44105</v>
      </c>
      <c r="F2" s="1">
        <v>45931</v>
      </c>
      <c r="G2" t="s">
        <v>18</v>
      </c>
      <c r="H2">
        <v>148370</v>
      </c>
      <c r="L2">
        <f>COUNTA(_xlfn.UNIQUE(A2:A39))</f>
        <v>25</v>
      </c>
      <c r="M2">
        <f>SUM(H2:H49)</f>
        <v>3080822</v>
      </c>
    </row>
    <row r="3" spans="1:13" x14ac:dyDescent="0.25">
      <c r="A3" t="s">
        <v>10</v>
      </c>
      <c r="B3" t="s">
        <v>12</v>
      </c>
      <c r="C3" t="s">
        <v>12</v>
      </c>
      <c r="D3">
        <v>186496</v>
      </c>
      <c r="E3" s="1">
        <v>44105</v>
      </c>
      <c r="F3" s="1">
        <v>45931</v>
      </c>
      <c r="G3" t="s">
        <v>19</v>
      </c>
      <c r="H3">
        <v>51709</v>
      </c>
    </row>
    <row r="4" spans="1:13" x14ac:dyDescent="0.25">
      <c r="A4" t="s">
        <v>5</v>
      </c>
      <c r="B4" t="s">
        <v>12</v>
      </c>
      <c r="C4" t="s">
        <v>12</v>
      </c>
      <c r="D4">
        <v>66357</v>
      </c>
      <c r="E4" s="1">
        <v>44105</v>
      </c>
      <c r="F4" s="1">
        <v>44835</v>
      </c>
      <c r="G4" t="s">
        <v>24</v>
      </c>
      <c r="H4">
        <v>146939</v>
      </c>
    </row>
    <row r="5" spans="1:13" x14ac:dyDescent="0.25">
      <c r="A5" t="s">
        <v>5</v>
      </c>
      <c r="B5" t="s">
        <v>12</v>
      </c>
      <c r="C5" t="s">
        <v>12</v>
      </c>
      <c r="D5">
        <v>66357</v>
      </c>
      <c r="E5" s="1">
        <v>44836</v>
      </c>
      <c r="F5" s="1">
        <v>45200</v>
      </c>
      <c r="G5" t="s">
        <v>26</v>
      </c>
      <c r="H5">
        <v>123366</v>
      </c>
    </row>
    <row r="6" spans="1:13" x14ac:dyDescent="0.25">
      <c r="A6" t="s">
        <v>5</v>
      </c>
      <c r="B6" t="s">
        <v>12</v>
      </c>
      <c r="C6" t="s">
        <v>12</v>
      </c>
      <c r="D6">
        <v>66357</v>
      </c>
      <c r="E6" s="1">
        <v>45201</v>
      </c>
      <c r="F6" s="1">
        <v>45566</v>
      </c>
      <c r="G6" t="s">
        <v>27</v>
      </c>
      <c r="H6">
        <v>139742</v>
      </c>
    </row>
    <row r="7" spans="1:13" x14ac:dyDescent="0.25">
      <c r="A7" t="s">
        <v>5</v>
      </c>
      <c r="B7" t="s">
        <v>12</v>
      </c>
      <c r="C7" t="s">
        <v>12</v>
      </c>
      <c r="D7">
        <v>66357</v>
      </c>
      <c r="E7" s="1">
        <v>45567</v>
      </c>
      <c r="F7" s="1">
        <v>45931</v>
      </c>
      <c r="G7" t="s">
        <v>35</v>
      </c>
      <c r="H7">
        <v>194025</v>
      </c>
    </row>
    <row r="8" spans="1:13" x14ac:dyDescent="0.25">
      <c r="A8" t="s">
        <v>6</v>
      </c>
      <c r="B8" t="s">
        <v>12</v>
      </c>
      <c r="C8" t="s">
        <v>12</v>
      </c>
      <c r="D8">
        <v>130732</v>
      </c>
      <c r="E8" s="1">
        <v>44105</v>
      </c>
      <c r="F8" s="1">
        <v>45566</v>
      </c>
      <c r="G8" t="s">
        <v>22</v>
      </c>
      <c r="H8">
        <v>182590</v>
      </c>
    </row>
    <row r="9" spans="1:13" x14ac:dyDescent="0.25">
      <c r="A9" t="s">
        <v>6</v>
      </c>
      <c r="B9" t="s">
        <v>12</v>
      </c>
      <c r="C9" t="s">
        <v>12</v>
      </c>
      <c r="D9">
        <v>130732</v>
      </c>
      <c r="E9" s="1">
        <v>45567</v>
      </c>
      <c r="F9" s="1">
        <v>45931</v>
      </c>
      <c r="G9" t="s">
        <v>23</v>
      </c>
      <c r="H9">
        <v>70547</v>
      </c>
    </row>
    <row r="10" spans="1:13" x14ac:dyDescent="0.25">
      <c r="A10" t="s">
        <v>4</v>
      </c>
      <c r="B10" t="s">
        <v>12</v>
      </c>
      <c r="C10" t="s">
        <v>12</v>
      </c>
      <c r="D10">
        <v>123650</v>
      </c>
      <c r="E10" s="1">
        <v>44105</v>
      </c>
      <c r="F10" s="1">
        <v>45566</v>
      </c>
      <c r="G10" t="s">
        <v>20</v>
      </c>
      <c r="H10">
        <v>161688</v>
      </c>
    </row>
    <row r="11" spans="1:13" x14ac:dyDescent="0.25">
      <c r="A11" t="s">
        <v>4</v>
      </c>
      <c r="B11" t="s">
        <v>12</v>
      </c>
      <c r="C11" t="s">
        <v>12</v>
      </c>
      <c r="D11">
        <v>123650</v>
      </c>
      <c r="E11" s="1">
        <v>45567</v>
      </c>
      <c r="F11" s="1">
        <v>45931</v>
      </c>
      <c r="G11" t="s">
        <v>21</v>
      </c>
      <c r="H11">
        <v>61472</v>
      </c>
    </row>
    <row r="12" spans="1:13" x14ac:dyDescent="0.25">
      <c r="A12" t="s">
        <v>3</v>
      </c>
      <c r="B12" t="s">
        <v>12</v>
      </c>
      <c r="C12" t="s">
        <v>12</v>
      </c>
      <c r="D12">
        <v>164862</v>
      </c>
      <c r="E12" s="1">
        <v>44105</v>
      </c>
      <c r="F12" s="1">
        <v>45931</v>
      </c>
      <c r="G12" t="s">
        <v>30</v>
      </c>
      <c r="H12">
        <v>120071</v>
      </c>
    </row>
    <row r="13" spans="1:13" x14ac:dyDescent="0.25">
      <c r="A13" t="s">
        <v>8</v>
      </c>
      <c r="B13" t="s">
        <v>12</v>
      </c>
      <c r="C13" t="s">
        <v>12</v>
      </c>
      <c r="D13">
        <v>211134</v>
      </c>
      <c r="E13" s="1">
        <v>44105</v>
      </c>
      <c r="F13" s="1">
        <v>45931</v>
      </c>
      <c r="G13" t="s">
        <v>31</v>
      </c>
      <c r="H13">
        <v>90904</v>
      </c>
    </row>
    <row r="14" spans="1:13" x14ac:dyDescent="0.25">
      <c r="A14" t="s">
        <v>7</v>
      </c>
      <c r="B14" t="s">
        <v>12</v>
      </c>
      <c r="C14" t="s">
        <v>12</v>
      </c>
      <c r="D14">
        <v>187347</v>
      </c>
      <c r="E14" s="1">
        <v>44105</v>
      </c>
      <c r="F14" s="1">
        <v>45931</v>
      </c>
      <c r="G14" t="s">
        <v>33</v>
      </c>
      <c r="H14">
        <v>86175</v>
      </c>
    </row>
    <row r="15" spans="1:13" x14ac:dyDescent="0.25">
      <c r="A15" t="s">
        <v>1</v>
      </c>
      <c r="B15" t="s">
        <v>12</v>
      </c>
      <c r="C15" t="s">
        <v>12</v>
      </c>
      <c r="D15">
        <v>197922</v>
      </c>
      <c r="E15" s="1">
        <v>44105</v>
      </c>
      <c r="F15" s="1">
        <v>45931</v>
      </c>
      <c r="G15" t="s">
        <v>32</v>
      </c>
      <c r="H15">
        <v>103582</v>
      </c>
      <c r="I15" t="s">
        <v>29</v>
      </c>
    </row>
    <row r="16" spans="1:13" x14ac:dyDescent="0.25">
      <c r="A16" t="s">
        <v>2</v>
      </c>
      <c r="B16" t="s">
        <v>12</v>
      </c>
      <c r="C16" t="s">
        <v>12</v>
      </c>
      <c r="D16">
        <v>131090</v>
      </c>
      <c r="E16" s="1">
        <v>44105</v>
      </c>
      <c r="F16" s="1">
        <v>45931</v>
      </c>
      <c r="G16" t="s">
        <v>34</v>
      </c>
      <c r="H16">
        <v>199866</v>
      </c>
    </row>
    <row r="17" spans="1:9" x14ac:dyDescent="0.25">
      <c r="A17" t="s">
        <v>36</v>
      </c>
      <c r="B17" t="s">
        <v>12</v>
      </c>
      <c r="C17" t="s">
        <v>12</v>
      </c>
      <c r="D17">
        <v>138194</v>
      </c>
      <c r="E17" s="1">
        <v>44105</v>
      </c>
      <c r="F17" s="1">
        <v>45931</v>
      </c>
      <c r="G17" t="s">
        <v>46</v>
      </c>
      <c r="H17">
        <v>163203</v>
      </c>
    </row>
    <row r="18" spans="1:9" x14ac:dyDescent="0.25">
      <c r="A18" t="s">
        <v>37</v>
      </c>
      <c r="B18" t="s">
        <v>12</v>
      </c>
      <c r="C18" t="s">
        <v>12</v>
      </c>
      <c r="D18">
        <v>138285</v>
      </c>
      <c r="E18" s="1">
        <v>44105</v>
      </c>
      <c r="F18" s="1">
        <v>45931</v>
      </c>
      <c r="G18" t="s">
        <v>56</v>
      </c>
      <c r="H18">
        <v>130863</v>
      </c>
    </row>
    <row r="19" spans="1:9" x14ac:dyDescent="0.25">
      <c r="A19" t="s">
        <v>42</v>
      </c>
      <c r="B19" t="s">
        <v>12</v>
      </c>
      <c r="C19" t="s">
        <v>12</v>
      </c>
      <c r="D19">
        <v>30456</v>
      </c>
      <c r="E19" s="1">
        <v>44105</v>
      </c>
      <c r="F19" s="1">
        <v>45931</v>
      </c>
      <c r="G19" t="s">
        <v>48</v>
      </c>
      <c r="H19">
        <v>4339</v>
      </c>
      <c r="I19" t="s">
        <v>40</v>
      </c>
    </row>
    <row r="20" spans="1:9" x14ac:dyDescent="0.25">
      <c r="A20" t="s">
        <v>42</v>
      </c>
      <c r="B20" t="s">
        <v>12</v>
      </c>
      <c r="C20" t="s">
        <v>12</v>
      </c>
      <c r="D20">
        <v>30461</v>
      </c>
      <c r="E20" s="1">
        <v>44105</v>
      </c>
      <c r="F20" s="1">
        <v>45931</v>
      </c>
      <c r="G20" t="s">
        <v>49</v>
      </c>
      <c r="H20">
        <v>19675</v>
      </c>
      <c r="I20" t="s">
        <v>39</v>
      </c>
    </row>
    <row r="21" spans="1:9" x14ac:dyDescent="0.25">
      <c r="A21" t="s">
        <v>42</v>
      </c>
      <c r="B21" t="s">
        <v>12</v>
      </c>
      <c r="C21" t="s">
        <v>12</v>
      </c>
      <c r="D21">
        <v>30463</v>
      </c>
      <c r="E21" s="1">
        <v>44105</v>
      </c>
      <c r="F21" s="1">
        <v>45931</v>
      </c>
      <c r="G21" t="s">
        <v>50</v>
      </c>
      <c r="H21">
        <v>74243</v>
      </c>
      <c r="I21" t="s">
        <v>41</v>
      </c>
    </row>
    <row r="22" spans="1:9" x14ac:dyDescent="0.25">
      <c r="A22" t="s">
        <v>42</v>
      </c>
      <c r="B22" t="s">
        <v>12</v>
      </c>
      <c r="C22" t="s">
        <v>12</v>
      </c>
      <c r="D22">
        <v>30465</v>
      </c>
      <c r="E22" s="1">
        <v>44105</v>
      </c>
      <c r="F22" s="1">
        <v>45931</v>
      </c>
      <c r="G22" t="s">
        <v>51</v>
      </c>
      <c r="H22">
        <v>27666</v>
      </c>
      <c r="I22" t="s">
        <v>43</v>
      </c>
    </row>
    <row r="23" spans="1:9" x14ac:dyDescent="0.25">
      <c r="A23" t="s">
        <v>42</v>
      </c>
      <c r="B23" t="s">
        <v>12</v>
      </c>
      <c r="C23" t="s">
        <v>12</v>
      </c>
      <c r="D23">
        <v>30468</v>
      </c>
      <c r="E23" s="1">
        <v>44105</v>
      </c>
      <c r="F23" s="1">
        <v>45931</v>
      </c>
      <c r="G23" t="s">
        <v>52</v>
      </c>
      <c r="H23">
        <v>8770</v>
      </c>
      <c r="I23" t="s">
        <v>44</v>
      </c>
    </row>
    <row r="24" spans="1:9" x14ac:dyDescent="0.25">
      <c r="A24" t="s">
        <v>42</v>
      </c>
      <c r="B24" t="s">
        <v>12</v>
      </c>
      <c r="C24" t="s">
        <v>12</v>
      </c>
      <c r="D24">
        <v>30481</v>
      </c>
      <c r="E24" s="1">
        <v>44105</v>
      </c>
      <c r="F24" s="1">
        <v>45931</v>
      </c>
      <c r="G24" t="s">
        <v>53</v>
      </c>
      <c r="H24">
        <v>13504</v>
      </c>
      <c r="I24" t="s">
        <v>45</v>
      </c>
    </row>
    <row r="25" spans="1:9" x14ac:dyDescent="0.25">
      <c r="A25" t="s">
        <v>38</v>
      </c>
      <c r="B25" t="s">
        <v>12</v>
      </c>
      <c r="C25" t="s">
        <v>12</v>
      </c>
      <c r="D25">
        <v>30388</v>
      </c>
      <c r="E25" s="1">
        <v>44105</v>
      </c>
      <c r="F25" s="1">
        <v>45931</v>
      </c>
      <c r="G25" t="s">
        <v>47</v>
      </c>
      <c r="H25">
        <v>110462</v>
      </c>
    </row>
    <row r="26" spans="1:9" x14ac:dyDescent="0.25">
      <c r="A26" t="s">
        <v>67</v>
      </c>
      <c r="B26" t="s">
        <v>12</v>
      </c>
      <c r="C26" t="s">
        <v>12</v>
      </c>
      <c r="D26">
        <v>186686</v>
      </c>
      <c r="E26" s="1">
        <v>44105</v>
      </c>
      <c r="F26" s="1">
        <v>45931</v>
      </c>
      <c r="G26" t="s">
        <v>85</v>
      </c>
      <c r="H26">
        <v>7761</v>
      </c>
      <c r="I26" t="s">
        <v>82</v>
      </c>
    </row>
    <row r="27" spans="1:9" x14ac:dyDescent="0.25">
      <c r="A27" t="s">
        <v>67</v>
      </c>
      <c r="B27" t="s">
        <v>12</v>
      </c>
      <c r="C27" t="s">
        <v>12</v>
      </c>
      <c r="D27">
        <v>186687</v>
      </c>
      <c r="E27" s="1">
        <v>44105</v>
      </c>
      <c r="F27" s="1">
        <v>45931</v>
      </c>
      <c r="G27" t="s">
        <v>86</v>
      </c>
      <c r="H27">
        <v>74548</v>
      </c>
      <c r="I27" t="s">
        <v>83</v>
      </c>
    </row>
    <row r="28" spans="1:9" x14ac:dyDescent="0.25">
      <c r="A28" t="s">
        <v>57</v>
      </c>
      <c r="B28" t="s">
        <v>12</v>
      </c>
      <c r="C28" t="s">
        <v>12</v>
      </c>
      <c r="D28">
        <v>30407</v>
      </c>
      <c r="E28" s="1">
        <v>44105</v>
      </c>
      <c r="F28" s="1">
        <v>45931</v>
      </c>
      <c r="G28" t="s">
        <v>87</v>
      </c>
      <c r="H28">
        <v>119440</v>
      </c>
    </row>
    <row r="29" spans="1:9" x14ac:dyDescent="0.25">
      <c r="A29" t="s">
        <v>58</v>
      </c>
      <c r="B29" t="s">
        <v>12</v>
      </c>
      <c r="C29" t="s">
        <v>12</v>
      </c>
      <c r="D29">
        <v>198158</v>
      </c>
      <c r="E29" s="1">
        <v>44105</v>
      </c>
      <c r="F29" s="1">
        <v>45931</v>
      </c>
      <c r="G29" t="s">
        <v>88</v>
      </c>
      <c r="H29">
        <v>39944</v>
      </c>
    </row>
    <row r="30" spans="1:9" x14ac:dyDescent="0.25">
      <c r="A30" t="s">
        <v>59</v>
      </c>
      <c r="B30" t="s">
        <v>12</v>
      </c>
      <c r="C30" t="s">
        <v>12</v>
      </c>
      <c r="D30">
        <v>30318</v>
      </c>
      <c r="E30" s="1">
        <v>44105</v>
      </c>
      <c r="F30" s="1">
        <v>45931</v>
      </c>
      <c r="G30" t="s">
        <v>89</v>
      </c>
      <c r="H30">
        <v>65658</v>
      </c>
    </row>
    <row r="31" spans="1:9" x14ac:dyDescent="0.25">
      <c r="A31" t="s">
        <v>60</v>
      </c>
      <c r="B31" t="s">
        <v>12</v>
      </c>
      <c r="C31" t="s">
        <v>12</v>
      </c>
      <c r="D31">
        <v>30500</v>
      </c>
      <c r="E31" s="1">
        <v>44105</v>
      </c>
      <c r="F31" s="1">
        <v>45931</v>
      </c>
      <c r="G31" t="s">
        <v>90</v>
      </c>
      <c r="H31">
        <v>25181</v>
      </c>
    </row>
    <row r="32" spans="1:9" x14ac:dyDescent="0.25">
      <c r="A32" t="s">
        <v>61</v>
      </c>
      <c r="B32" t="s">
        <v>12</v>
      </c>
      <c r="C32" t="s">
        <v>12</v>
      </c>
      <c r="D32">
        <v>192764</v>
      </c>
      <c r="E32" s="1">
        <v>44105</v>
      </c>
      <c r="F32" s="1">
        <v>45931</v>
      </c>
      <c r="G32" t="s">
        <v>91</v>
      </c>
      <c r="H32">
        <v>9948</v>
      </c>
    </row>
    <row r="33" spans="1:9" x14ac:dyDescent="0.25">
      <c r="A33" t="s">
        <v>62</v>
      </c>
      <c r="B33" t="s">
        <v>12</v>
      </c>
      <c r="C33" t="s">
        <v>12</v>
      </c>
      <c r="D33">
        <v>30344</v>
      </c>
      <c r="E33" s="1">
        <v>44105</v>
      </c>
      <c r="F33" s="1">
        <v>45931</v>
      </c>
      <c r="G33" t="s">
        <v>92</v>
      </c>
      <c r="H33">
        <v>82513</v>
      </c>
    </row>
    <row r="34" spans="1:9" x14ac:dyDescent="0.25">
      <c r="A34" t="s">
        <v>63</v>
      </c>
      <c r="B34" t="s">
        <v>12</v>
      </c>
      <c r="C34" t="s">
        <v>12</v>
      </c>
      <c r="D34">
        <v>164957</v>
      </c>
      <c r="E34" s="1">
        <v>44105</v>
      </c>
      <c r="F34" s="1">
        <v>45931</v>
      </c>
      <c r="G34" t="s">
        <v>93</v>
      </c>
      <c r="H34">
        <v>589</v>
      </c>
      <c r="I34" t="s">
        <v>68</v>
      </c>
    </row>
    <row r="35" spans="1:9" x14ac:dyDescent="0.25">
      <c r="A35" t="s">
        <v>63</v>
      </c>
      <c r="B35" t="s">
        <v>12</v>
      </c>
      <c r="C35" t="s">
        <v>12</v>
      </c>
      <c r="D35">
        <v>164860</v>
      </c>
      <c r="E35" s="1">
        <v>44105</v>
      </c>
      <c r="F35" s="1">
        <v>45931</v>
      </c>
      <c r="G35" t="s">
        <v>94</v>
      </c>
      <c r="H35">
        <v>30260</v>
      </c>
      <c r="I35" t="s">
        <v>69</v>
      </c>
    </row>
    <row r="36" spans="1:9" x14ac:dyDescent="0.25">
      <c r="A36" t="s">
        <v>63</v>
      </c>
      <c r="B36" t="s">
        <v>12</v>
      </c>
      <c r="C36" t="s">
        <v>12</v>
      </c>
      <c r="D36">
        <v>164890</v>
      </c>
      <c r="E36" s="1">
        <v>44105</v>
      </c>
      <c r="F36" s="1">
        <v>45931</v>
      </c>
      <c r="G36" t="s">
        <v>95</v>
      </c>
      <c r="H36">
        <v>7256</v>
      </c>
      <c r="I36" t="s">
        <v>70</v>
      </c>
    </row>
    <row r="37" spans="1:9" x14ac:dyDescent="0.25">
      <c r="A37" t="s">
        <v>64</v>
      </c>
      <c r="B37" t="s">
        <v>12</v>
      </c>
      <c r="C37" t="s">
        <v>12</v>
      </c>
      <c r="D37">
        <v>163986</v>
      </c>
      <c r="E37" s="1">
        <v>44105</v>
      </c>
      <c r="F37" s="1">
        <v>45931</v>
      </c>
      <c r="G37" t="s">
        <v>96</v>
      </c>
      <c r="H37">
        <v>33865</v>
      </c>
      <c r="I37" t="s">
        <v>84</v>
      </c>
    </row>
    <row r="38" spans="1:9" x14ac:dyDescent="0.25">
      <c r="A38" t="s">
        <v>65</v>
      </c>
      <c r="B38" t="s">
        <v>12</v>
      </c>
      <c r="C38" t="s">
        <v>12</v>
      </c>
      <c r="D38">
        <v>144218</v>
      </c>
      <c r="E38" s="1">
        <v>44105</v>
      </c>
      <c r="F38" s="1">
        <v>45931</v>
      </c>
      <c r="G38" t="s">
        <v>97</v>
      </c>
      <c r="H38">
        <v>46944</v>
      </c>
    </row>
    <row r="39" spans="1:9" x14ac:dyDescent="0.25">
      <c r="A39" t="s">
        <v>66</v>
      </c>
      <c r="B39" t="s">
        <v>12</v>
      </c>
      <c r="C39" t="s">
        <v>12</v>
      </c>
      <c r="D39">
        <v>30459</v>
      </c>
      <c r="E39" s="1">
        <v>44105</v>
      </c>
      <c r="F39" s="1">
        <v>45931</v>
      </c>
      <c r="G39" t="s">
        <v>100</v>
      </c>
      <c r="H39">
        <v>3470</v>
      </c>
      <c r="I39" t="s">
        <v>71</v>
      </c>
    </row>
    <row r="40" spans="1:9" x14ac:dyDescent="0.25">
      <c r="A40" t="s">
        <v>66</v>
      </c>
      <c r="B40" t="s">
        <v>12</v>
      </c>
      <c r="C40" t="s">
        <v>12</v>
      </c>
      <c r="D40">
        <v>30460</v>
      </c>
      <c r="E40" s="1">
        <v>44105</v>
      </c>
      <c r="F40" s="1">
        <v>45931</v>
      </c>
      <c r="G40" t="s">
        <v>98</v>
      </c>
      <c r="H40">
        <v>5888</v>
      </c>
      <c r="I40" t="s">
        <v>72</v>
      </c>
    </row>
    <row r="41" spans="1:9" x14ac:dyDescent="0.25">
      <c r="A41" t="s">
        <v>66</v>
      </c>
      <c r="B41" t="s">
        <v>12</v>
      </c>
      <c r="C41" t="s">
        <v>12</v>
      </c>
      <c r="D41">
        <v>30462</v>
      </c>
      <c r="E41" s="1">
        <v>44105</v>
      </c>
      <c r="F41" s="1">
        <v>45931</v>
      </c>
      <c r="G41" t="s">
        <v>101</v>
      </c>
      <c r="H41">
        <v>2212</v>
      </c>
      <c r="I41" t="s">
        <v>73</v>
      </c>
    </row>
    <row r="42" spans="1:9" x14ac:dyDescent="0.25">
      <c r="A42" t="s">
        <v>66</v>
      </c>
      <c r="B42" t="s">
        <v>12</v>
      </c>
      <c r="C42" t="s">
        <v>12</v>
      </c>
      <c r="D42">
        <v>30466</v>
      </c>
      <c r="E42" s="1">
        <v>44105</v>
      </c>
      <c r="F42" s="1">
        <v>45931</v>
      </c>
      <c r="G42" t="s">
        <v>102</v>
      </c>
      <c r="H42">
        <v>39323</v>
      </c>
      <c r="I42" t="s">
        <v>74</v>
      </c>
    </row>
    <row r="43" spans="1:9" x14ac:dyDescent="0.25">
      <c r="A43" t="s">
        <v>66</v>
      </c>
      <c r="B43" t="s">
        <v>12</v>
      </c>
      <c r="C43" t="s">
        <v>12</v>
      </c>
      <c r="D43">
        <v>30467</v>
      </c>
      <c r="E43" s="1">
        <v>44105</v>
      </c>
      <c r="F43" s="1">
        <v>45931</v>
      </c>
      <c r="G43" t="s">
        <v>103</v>
      </c>
      <c r="H43">
        <v>1342</v>
      </c>
      <c r="I43" t="s">
        <v>75</v>
      </c>
    </row>
    <row r="44" spans="1:9" x14ac:dyDescent="0.25">
      <c r="A44" t="s">
        <v>66</v>
      </c>
      <c r="B44" t="s">
        <v>12</v>
      </c>
      <c r="C44" t="s">
        <v>12</v>
      </c>
      <c r="D44">
        <v>30470</v>
      </c>
      <c r="E44" s="1">
        <v>44105</v>
      </c>
      <c r="F44" s="1">
        <v>45931</v>
      </c>
      <c r="G44" t="s">
        <v>107</v>
      </c>
      <c r="H44">
        <v>14996</v>
      </c>
      <c r="I44" t="s">
        <v>76</v>
      </c>
    </row>
    <row r="45" spans="1:9" x14ac:dyDescent="0.25">
      <c r="A45" t="s">
        <v>66</v>
      </c>
      <c r="B45" t="s">
        <v>12</v>
      </c>
      <c r="C45" t="s">
        <v>12</v>
      </c>
      <c r="D45">
        <v>30471</v>
      </c>
      <c r="E45" s="1">
        <v>44105</v>
      </c>
      <c r="F45" s="1">
        <v>45931</v>
      </c>
      <c r="G45" t="s">
        <v>104</v>
      </c>
      <c r="H45">
        <v>8450</v>
      </c>
      <c r="I45" t="s">
        <v>77</v>
      </c>
    </row>
    <row r="46" spans="1:9" x14ac:dyDescent="0.25">
      <c r="A46" t="s">
        <v>66</v>
      </c>
      <c r="B46" t="s">
        <v>12</v>
      </c>
      <c r="C46" t="s">
        <v>12</v>
      </c>
      <c r="D46">
        <v>30474</v>
      </c>
      <c r="E46" s="1">
        <v>44105</v>
      </c>
      <c r="F46" s="1">
        <v>45931</v>
      </c>
      <c r="G46" t="s">
        <v>99</v>
      </c>
      <c r="H46">
        <v>4989</v>
      </c>
      <c r="I46" t="s">
        <v>78</v>
      </c>
    </row>
    <row r="47" spans="1:9" x14ac:dyDescent="0.25">
      <c r="A47" t="s">
        <v>66</v>
      </c>
      <c r="B47" t="s">
        <v>12</v>
      </c>
      <c r="C47" t="s">
        <v>12</v>
      </c>
      <c r="D47">
        <v>30477</v>
      </c>
      <c r="E47" s="1">
        <v>44105</v>
      </c>
      <c r="F47" s="1">
        <v>45931</v>
      </c>
      <c r="G47" t="s">
        <v>105</v>
      </c>
      <c r="H47">
        <v>5238</v>
      </c>
      <c r="I47" t="s">
        <v>79</v>
      </c>
    </row>
    <row r="48" spans="1:9" x14ac:dyDescent="0.25">
      <c r="A48" t="s">
        <v>66</v>
      </c>
      <c r="B48" t="s">
        <v>12</v>
      </c>
      <c r="C48" t="s">
        <v>12</v>
      </c>
      <c r="D48">
        <v>30478</v>
      </c>
      <c r="E48" s="1">
        <v>44105</v>
      </c>
      <c r="F48" s="1">
        <v>45931</v>
      </c>
      <c r="G48" t="s">
        <v>106</v>
      </c>
      <c r="H48">
        <v>10978</v>
      </c>
      <c r="I48" t="s">
        <v>80</v>
      </c>
    </row>
    <row r="49" spans="1:9" x14ac:dyDescent="0.25">
      <c r="A49" t="s">
        <v>66</v>
      </c>
      <c r="B49" t="s">
        <v>12</v>
      </c>
      <c r="C49" t="s">
        <v>12</v>
      </c>
      <c r="D49">
        <v>30480</v>
      </c>
      <c r="E49" s="1">
        <v>44105</v>
      </c>
      <c r="F49" s="1">
        <v>45931</v>
      </c>
      <c r="G49" t="s">
        <v>108</v>
      </c>
      <c r="H49">
        <v>6258</v>
      </c>
      <c r="I49" t="s">
        <v>81</v>
      </c>
    </row>
  </sheetData>
  <sortState xmlns:xlrd2="http://schemas.microsoft.com/office/spreadsheetml/2017/richdata2" ref="A2:E29">
    <sortCondition descending="1" ref="D1:D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9E66-CEF1-4F14-A246-A5213E19222A}">
  <dimension ref="A1:K26"/>
  <sheetViews>
    <sheetView tabSelected="1" workbookViewId="0">
      <selection activeCell="H18" sqref="H18"/>
    </sheetView>
  </sheetViews>
  <sheetFormatPr defaultRowHeight="15" x14ac:dyDescent="0.25"/>
  <cols>
    <col min="1" max="1" width="38.7109375" customWidth="1"/>
    <col min="2" max="2" width="13.85546875" customWidth="1"/>
    <col min="3" max="3" width="19.5703125" customWidth="1"/>
    <col min="4" max="4" width="27.85546875" customWidth="1"/>
  </cols>
  <sheetData>
    <row r="1" spans="1:11" x14ac:dyDescent="0.25">
      <c r="A1" t="s">
        <v>0</v>
      </c>
      <c r="B1" t="s">
        <v>17</v>
      </c>
      <c r="C1" t="s">
        <v>25</v>
      </c>
      <c r="D1" t="s">
        <v>28</v>
      </c>
      <c r="G1" t="s">
        <v>54</v>
      </c>
      <c r="H1" t="s">
        <v>55</v>
      </c>
      <c r="I1" t="s">
        <v>109</v>
      </c>
      <c r="J1" t="s">
        <v>110</v>
      </c>
      <c r="K1" t="s">
        <v>111</v>
      </c>
    </row>
    <row r="2" spans="1:11" x14ac:dyDescent="0.25">
      <c r="A2" t="s">
        <v>9</v>
      </c>
      <c r="B2" t="s">
        <v>18</v>
      </c>
      <c r="C2">
        <v>148370</v>
      </c>
      <c r="G2">
        <f>COUNTA(_xlfn.UNIQUE(A2:A26))</f>
        <v>25</v>
      </c>
      <c r="H2">
        <f>SUM(C2:C26)</f>
        <v>3080822</v>
      </c>
      <c r="I2">
        <f>AVERAGE(C2:C26)</f>
        <v>123232.88</v>
      </c>
      <c r="J2">
        <f>MIN(C2:C26)</f>
        <v>9948</v>
      </c>
      <c r="K2">
        <f>MAX(C2:C26)</f>
        <v>604072</v>
      </c>
    </row>
    <row r="3" spans="1:11" x14ac:dyDescent="0.25">
      <c r="A3" t="s">
        <v>10</v>
      </c>
      <c r="B3" t="s">
        <v>19</v>
      </c>
      <c r="C3">
        <v>51709</v>
      </c>
    </row>
    <row r="4" spans="1:11" x14ac:dyDescent="0.25">
      <c r="A4" t="s">
        <v>5</v>
      </c>
      <c r="B4" t="s">
        <v>24</v>
      </c>
      <c r="C4">
        <v>604072</v>
      </c>
    </row>
    <row r="5" spans="1:11" x14ac:dyDescent="0.25">
      <c r="A5" t="s">
        <v>6</v>
      </c>
      <c r="B5" t="s">
        <v>22</v>
      </c>
      <c r="C5">
        <v>253137</v>
      </c>
    </row>
    <row r="6" spans="1:11" x14ac:dyDescent="0.25">
      <c r="A6" t="s">
        <v>4</v>
      </c>
      <c r="B6" t="s">
        <v>20</v>
      </c>
      <c r="C6">
        <v>223160</v>
      </c>
    </row>
    <row r="7" spans="1:11" x14ac:dyDescent="0.25">
      <c r="A7" t="s">
        <v>3</v>
      </c>
      <c r="B7" t="s">
        <v>30</v>
      </c>
      <c r="C7">
        <v>120071</v>
      </c>
    </row>
    <row r="8" spans="1:11" x14ac:dyDescent="0.25">
      <c r="A8" t="s">
        <v>8</v>
      </c>
      <c r="B8" t="s">
        <v>31</v>
      </c>
      <c r="C8">
        <v>90904</v>
      </c>
    </row>
    <row r="9" spans="1:11" x14ac:dyDescent="0.25">
      <c r="A9" t="s">
        <v>7</v>
      </c>
      <c r="B9" t="s">
        <v>33</v>
      </c>
      <c r="C9">
        <v>86175</v>
      </c>
    </row>
    <row r="10" spans="1:11" x14ac:dyDescent="0.25">
      <c r="A10" t="s">
        <v>1</v>
      </c>
      <c r="B10" t="s">
        <v>32</v>
      </c>
      <c r="C10">
        <v>103582</v>
      </c>
      <c r="D10" t="s">
        <v>29</v>
      </c>
    </row>
    <row r="11" spans="1:11" x14ac:dyDescent="0.25">
      <c r="A11" t="s">
        <v>2</v>
      </c>
      <c r="B11" t="s">
        <v>34</v>
      </c>
      <c r="C11">
        <v>199866</v>
      </c>
    </row>
    <row r="12" spans="1:11" x14ac:dyDescent="0.25">
      <c r="A12" t="s">
        <v>36</v>
      </c>
      <c r="B12" t="s">
        <v>46</v>
      </c>
      <c r="C12">
        <v>163203</v>
      </c>
    </row>
    <row r="13" spans="1:11" x14ac:dyDescent="0.25">
      <c r="A13" t="s">
        <v>37</v>
      </c>
      <c r="B13" t="s">
        <v>56</v>
      </c>
      <c r="C13">
        <v>130863</v>
      </c>
    </row>
    <row r="14" spans="1:11" x14ac:dyDescent="0.25">
      <c r="A14" t="s">
        <v>42</v>
      </c>
      <c r="B14" t="s">
        <v>48</v>
      </c>
      <c r="C14">
        <v>148197</v>
      </c>
      <c r="D14" t="s">
        <v>40</v>
      </c>
    </row>
    <row r="15" spans="1:11" x14ac:dyDescent="0.25">
      <c r="A15" t="s">
        <v>38</v>
      </c>
      <c r="B15" t="s">
        <v>47</v>
      </c>
      <c r="C15">
        <v>110462</v>
      </c>
    </row>
    <row r="16" spans="1:11" x14ac:dyDescent="0.25">
      <c r="A16" t="s">
        <v>67</v>
      </c>
      <c r="B16" t="s">
        <v>85</v>
      </c>
      <c r="C16">
        <v>82309</v>
      </c>
      <c r="D16" t="s">
        <v>82</v>
      </c>
    </row>
    <row r="17" spans="1:4" x14ac:dyDescent="0.25">
      <c r="A17" t="s">
        <v>57</v>
      </c>
      <c r="B17" t="s">
        <v>87</v>
      </c>
      <c r="C17">
        <v>119440</v>
      </c>
    </row>
    <row r="18" spans="1:4" x14ac:dyDescent="0.25">
      <c r="A18" t="s">
        <v>58</v>
      </c>
      <c r="B18" t="s">
        <v>88</v>
      </c>
      <c r="C18">
        <v>39944</v>
      </c>
    </row>
    <row r="19" spans="1:4" x14ac:dyDescent="0.25">
      <c r="A19" t="s">
        <v>59</v>
      </c>
      <c r="B19" t="s">
        <v>89</v>
      </c>
      <c r="C19">
        <v>65658</v>
      </c>
    </row>
    <row r="20" spans="1:4" x14ac:dyDescent="0.25">
      <c r="A20" t="s">
        <v>60</v>
      </c>
      <c r="B20" t="s">
        <v>90</v>
      </c>
      <c r="C20">
        <v>25181</v>
      </c>
    </row>
    <row r="21" spans="1:4" x14ac:dyDescent="0.25">
      <c r="A21" t="s">
        <v>61</v>
      </c>
      <c r="B21" t="s">
        <v>91</v>
      </c>
      <c r="C21">
        <v>9948</v>
      </c>
    </row>
    <row r="22" spans="1:4" x14ac:dyDescent="0.25">
      <c r="A22" t="s">
        <v>62</v>
      </c>
      <c r="B22" t="s">
        <v>92</v>
      </c>
      <c r="C22">
        <v>82513</v>
      </c>
    </row>
    <row r="23" spans="1:4" x14ac:dyDescent="0.25">
      <c r="A23" t="s">
        <v>63</v>
      </c>
      <c r="B23" t="s">
        <v>93</v>
      </c>
      <c r="C23">
        <v>38105</v>
      </c>
      <c r="D23" t="s">
        <v>68</v>
      </c>
    </row>
    <row r="24" spans="1:4" x14ac:dyDescent="0.25">
      <c r="A24" t="s">
        <v>64</v>
      </c>
      <c r="B24" t="s">
        <v>96</v>
      </c>
      <c r="C24">
        <v>33865</v>
      </c>
      <c r="D24" t="s">
        <v>84</v>
      </c>
    </row>
    <row r="25" spans="1:4" x14ac:dyDescent="0.25">
      <c r="A25" t="s">
        <v>65</v>
      </c>
      <c r="B25" t="s">
        <v>97</v>
      </c>
      <c r="C25">
        <v>46944</v>
      </c>
    </row>
    <row r="26" spans="1:4" x14ac:dyDescent="0.25">
      <c r="A26" t="s">
        <v>66</v>
      </c>
      <c r="B26" t="s">
        <v>100</v>
      </c>
      <c r="C26">
        <v>103144</v>
      </c>
      <c r="D26" t="s">
        <v>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90a8197-7b83-4f10-89b9-83189be3835e}" enabled="0" method="" siteId="{490a8197-7b83-4f10-89b9-83189be383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full_data</vt:lpstr>
      <vt:lpstr>averages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2025-10-03T17:10:55Z</dcterms:created>
  <dcterms:modified xsi:type="dcterms:W3CDTF">2026-03-16T13:06:18Z</dcterms:modified>
</cp:coreProperties>
</file>